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38" i="1" l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39" i="1" s="1"/>
  <c r="E43" i="1"/>
  <c r="G40" i="1" l="1"/>
  <c r="G41" i="1" s="1"/>
  <c r="G42" i="1"/>
</calcChain>
</file>

<file path=xl/sharedStrings.xml><?xml version="1.0" encoding="utf-8"?>
<sst xmlns="http://schemas.openxmlformats.org/spreadsheetml/2006/main" count="89" uniqueCount="52">
  <si>
    <t>Total</t>
  </si>
  <si>
    <t>SN</t>
  </si>
  <si>
    <t>Item Details</t>
  </si>
  <si>
    <t>QTY</t>
  </si>
  <si>
    <t>unit</t>
  </si>
  <si>
    <t>TAX</t>
  </si>
  <si>
    <t xml:space="preserve">Rate </t>
  </si>
  <si>
    <t>Pad vending machine 50Cap</t>
  </si>
  <si>
    <t>Pc</t>
  </si>
  <si>
    <t>Pad incinerator (electric)</t>
  </si>
  <si>
    <t>NV</t>
  </si>
  <si>
    <t>Blood pressure measuring machine (sphygmomanometer) Model GB111</t>
  </si>
  <si>
    <t>Autoclave Machine with drum 12 Ltr. - 12*12 Size Cooker Type</t>
  </si>
  <si>
    <t>set</t>
  </si>
  <si>
    <t>Autoclave Machine with drum 22 Ltr. &amp; 12 Ltr. - 12*12 Size Cooker Type</t>
  </si>
  <si>
    <t>Set</t>
  </si>
  <si>
    <t>Drum 9*9</t>
  </si>
  <si>
    <t>Stethoscope (Dual head) - Model: EB200</t>
  </si>
  <si>
    <t>Stethoscope (Normal, St-72)</t>
  </si>
  <si>
    <t>Stretcher</t>
  </si>
  <si>
    <t>Knee Hammer - Flexible Plastuc</t>
  </si>
  <si>
    <t>Tuning Fork</t>
  </si>
  <si>
    <t>Digital Thermometer - Degree Centigrate or Degree Foreinheight - 1 Yr Warranty</t>
  </si>
  <si>
    <t>Room thermometer for birthing centre - Manual</t>
  </si>
  <si>
    <t>Doppler - Pocket Type</t>
  </si>
  <si>
    <t>ARI TIMER/Respiratory Rate Timer</t>
  </si>
  <si>
    <t>Portable suction machine (medical)</t>
  </si>
  <si>
    <t>Penguin suction</t>
  </si>
  <si>
    <t>Suction machine - Electric with two bottles</t>
  </si>
  <si>
    <t>Needle cutter 3Lit</t>
  </si>
  <si>
    <t>KMC chair with table set (Set)</t>
  </si>
  <si>
    <t>Revolving Steel tool adjustable for patient check-ups</t>
  </si>
  <si>
    <t>Portable Delivery Bed</t>
  </si>
  <si>
    <t>Hospital Patient bed - Semi Folding with Mattress</t>
  </si>
  <si>
    <t>Trolley (dressing)</t>
  </si>
  <si>
    <t>Hospital bed-side locker</t>
  </si>
  <si>
    <t>Wheel Chair - Model FS809</t>
  </si>
  <si>
    <t>Micro pipette stand</t>
  </si>
  <si>
    <t>Adult height board</t>
  </si>
  <si>
    <t>ENT set</t>
  </si>
  <si>
    <t>Dressing set Kidney Tray 110 SS Bowl 50 Scissor SB 155 Artery Forcep 155 Thumb Forcep 100</t>
  </si>
  <si>
    <t>Suture Set Kidney Tray 110 SS Bowl 50 Scissor SB 155 Artery Forcep 155 Thumb Forcep 100 Suture Cutting Scissor 350 Needle Holder 175 Blade Handle 100</t>
  </si>
  <si>
    <t>Glucometer set - With 25 Strip and 10 Lancets</t>
  </si>
  <si>
    <t>Implant set (Insertion)</t>
  </si>
  <si>
    <t>Implant set (Removal)</t>
  </si>
  <si>
    <t>Nebulizer Machine</t>
  </si>
  <si>
    <t>USB rechargeable retractable LED torch light</t>
  </si>
  <si>
    <t>Physiotherapy machine</t>
  </si>
  <si>
    <t xml:space="preserve">Total </t>
  </si>
  <si>
    <t xml:space="preserve">Taxable Amount </t>
  </si>
  <si>
    <t xml:space="preserve">Tax </t>
  </si>
  <si>
    <t xml:space="preserve">Total with tax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</si>
</sst>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43"/>
  <sheetViews>
    <sheetView tabSelected="1" workbookViewId="0">
      <selection sqref="A1:H43"/>
    </sheetView>
  </sheetViews>
  <sheetFormatPr defaultRowHeight="14.4" x14ac:dyDescent="0.3"/>
  <cols>
    <col min="1" max="1" width="8.77734375" customWidth="1"/>
    <col min="2" max="2" width="25.77734375" customWidth="1"/>
    <col min="3" max="3" width="8.77734375" customWidth="1"/>
    <col min="4" max="4" width="16" customWidth="1"/>
    <col min="5" max="5" width="37.109375" customWidth="1"/>
    <col min="6" max="6" width="16.77734375" customWidth="1"/>
    <col min="7" max="7" width="16.6640625" customWidth="1"/>
  </cols>
  <sheetData>
    <row r="1" spans="1:7" ht="17.399999999999999" customHeight="1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0</v>
      </c>
    </row>
    <row r="2" spans="1:7" x14ac:dyDescent="0.3">
      <c r="A2">
        <v>1</v>
      </c>
      <c r="B2" t="s">
        <v>7</v>
      </c>
      <c r="C2">
        <v>18</v>
      </c>
      <c r="D2" t="s">
        <v>8</v>
      </c>
      <c r="F2" s="1">
        <v>18008.848000000002</v>
      </c>
      <c r="G2" s="1">
        <f>F2*C2</f>
        <v>324159.26400000002</v>
      </c>
    </row>
    <row r="3" spans="1:7" x14ac:dyDescent="0.3">
      <c r="A3">
        <v>2</v>
      </c>
      <c r="B3" t="s">
        <v>9</v>
      </c>
      <c r="C3">
        <v>21</v>
      </c>
      <c r="D3" t="s">
        <v>8</v>
      </c>
      <c r="E3" t="s">
        <v>10</v>
      </c>
      <c r="F3" s="1">
        <v>44000</v>
      </c>
      <c r="G3" s="1">
        <f t="shared" ref="G3:G38" si="0">F3*C3</f>
        <v>924000</v>
      </c>
    </row>
    <row r="4" spans="1:7" x14ac:dyDescent="0.3">
      <c r="A4">
        <v>3</v>
      </c>
      <c r="B4" t="s">
        <v>11</v>
      </c>
      <c r="C4">
        <v>50</v>
      </c>
      <c r="D4" t="s">
        <v>8</v>
      </c>
      <c r="F4" s="1">
        <v>1421.2440000000001</v>
      </c>
      <c r="G4" s="1">
        <f t="shared" si="0"/>
        <v>71062.200000000012</v>
      </c>
    </row>
    <row r="5" spans="1:7" x14ac:dyDescent="0.3">
      <c r="A5">
        <v>4</v>
      </c>
      <c r="B5" t="s">
        <v>12</v>
      </c>
      <c r="C5">
        <v>3</v>
      </c>
      <c r="D5" t="s">
        <v>13</v>
      </c>
      <c r="E5" t="s">
        <v>10</v>
      </c>
      <c r="F5" s="1">
        <v>13200.000000000002</v>
      </c>
      <c r="G5" s="1">
        <f t="shared" si="0"/>
        <v>39600.000000000007</v>
      </c>
    </row>
    <row r="6" spans="1:7" x14ac:dyDescent="0.3">
      <c r="A6">
        <v>5</v>
      </c>
      <c r="B6" t="s">
        <v>14</v>
      </c>
      <c r="C6">
        <v>3</v>
      </c>
      <c r="D6" t="s">
        <v>15</v>
      </c>
      <c r="E6" t="s">
        <v>10</v>
      </c>
      <c r="F6" s="1">
        <v>28600.000000000004</v>
      </c>
      <c r="G6" s="1">
        <f t="shared" si="0"/>
        <v>85800.000000000015</v>
      </c>
    </row>
    <row r="7" spans="1:7" x14ac:dyDescent="0.3">
      <c r="A7">
        <v>6</v>
      </c>
      <c r="B7" t="s">
        <v>16</v>
      </c>
      <c r="C7">
        <v>3</v>
      </c>
      <c r="D7" t="s">
        <v>8</v>
      </c>
      <c r="F7" s="1">
        <v>1168.1450000000002</v>
      </c>
      <c r="G7" s="1">
        <f t="shared" si="0"/>
        <v>3504.4350000000004</v>
      </c>
    </row>
    <row r="8" spans="1:7" x14ac:dyDescent="0.3">
      <c r="A8">
        <v>7</v>
      </c>
      <c r="B8" t="s">
        <v>17</v>
      </c>
      <c r="C8">
        <v>11</v>
      </c>
      <c r="D8" t="s">
        <v>8</v>
      </c>
      <c r="F8" s="1">
        <v>486.72800000000007</v>
      </c>
      <c r="G8" s="1">
        <f t="shared" si="0"/>
        <v>5354.0080000000007</v>
      </c>
    </row>
    <row r="9" spans="1:7" ht="15" customHeight="1" x14ac:dyDescent="0.3">
      <c r="A9">
        <v>8</v>
      </c>
      <c r="B9" t="s">
        <v>18</v>
      </c>
      <c r="C9">
        <v>12</v>
      </c>
      <c r="D9" t="s">
        <v>8</v>
      </c>
      <c r="F9" s="1">
        <v>1045</v>
      </c>
      <c r="G9" s="1">
        <f t="shared" si="0"/>
        <v>12540</v>
      </c>
    </row>
    <row r="10" spans="1:7" x14ac:dyDescent="0.3">
      <c r="A10">
        <v>9</v>
      </c>
      <c r="B10" t="s">
        <v>19</v>
      </c>
      <c r="C10">
        <v>12</v>
      </c>
      <c r="D10" t="s">
        <v>8</v>
      </c>
      <c r="F10" s="1">
        <v>3699.1130000000003</v>
      </c>
      <c r="G10" s="1">
        <f t="shared" si="0"/>
        <v>44389.356</v>
      </c>
    </row>
    <row r="11" spans="1:7" x14ac:dyDescent="0.3">
      <c r="A11">
        <v>10</v>
      </c>
      <c r="B11" t="s">
        <v>20</v>
      </c>
      <c r="C11">
        <v>14</v>
      </c>
      <c r="D11" t="s">
        <v>8</v>
      </c>
      <c r="F11" s="1">
        <v>110.00000000000001</v>
      </c>
      <c r="G11" s="1">
        <f t="shared" si="0"/>
        <v>1540.0000000000002</v>
      </c>
    </row>
    <row r="12" spans="1:7" x14ac:dyDescent="0.3">
      <c r="A12">
        <v>11</v>
      </c>
      <c r="B12" t="s">
        <v>21</v>
      </c>
      <c r="C12">
        <v>9</v>
      </c>
      <c r="D12" t="s">
        <v>8</v>
      </c>
      <c r="F12" s="1">
        <v>243.36400000000003</v>
      </c>
      <c r="G12" s="1">
        <f t="shared" si="0"/>
        <v>2190.2760000000003</v>
      </c>
    </row>
    <row r="13" spans="1:7" x14ac:dyDescent="0.3">
      <c r="A13">
        <v>12</v>
      </c>
      <c r="B13" t="s">
        <v>22</v>
      </c>
      <c r="C13">
        <v>62</v>
      </c>
      <c r="D13" t="s">
        <v>8</v>
      </c>
      <c r="F13" s="1">
        <v>110.00000000000001</v>
      </c>
      <c r="G13" s="1">
        <f t="shared" si="0"/>
        <v>6820.0000000000009</v>
      </c>
    </row>
    <row r="14" spans="1:7" x14ac:dyDescent="0.3">
      <c r="A14">
        <v>13</v>
      </c>
      <c r="B14" t="s">
        <v>23</v>
      </c>
      <c r="C14">
        <v>1</v>
      </c>
      <c r="D14" t="s">
        <v>8</v>
      </c>
      <c r="F14" s="1">
        <v>146.01400000000001</v>
      </c>
      <c r="G14" s="1">
        <f t="shared" si="0"/>
        <v>146.01400000000001</v>
      </c>
    </row>
    <row r="15" spans="1:7" x14ac:dyDescent="0.3">
      <c r="A15">
        <v>14</v>
      </c>
      <c r="B15" t="s">
        <v>24</v>
      </c>
      <c r="C15">
        <v>14</v>
      </c>
      <c r="D15" t="s">
        <v>8</v>
      </c>
      <c r="F15" s="1">
        <v>7300.8870000000006</v>
      </c>
      <c r="G15" s="1">
        <f t="shared" si="0"/>
        <v>102212.41800000001</v>
      </c>
    </row>
    <row r="16" spans="1:7" x14ac:dyDescent="0.3">
      <c r="A16">
        <v>15</v>
      </c>
      <c r="B16" t="s">
        <v>25</v>
      </c>
      <c r="C16">
        <v>161</v>
      </c>
      <c r="D16" t="s">
        <v>8</v>
      </c>
      <c r="F16" s="1">
        <v>825.00000000000011</v>
      </c>
      <c r="G16" s="1">
        <f t="shared" si="0"/>
        <v>132825.00000000003</v>
      </c>
    </row>
    <row r="17" spans="1:7" x14ac:dyDescent="0.3">
      <c r="A17">
        <v>16</v>
      </c>
      <c r="B17" t="s">
        <v>26</v>
      </c>
      <c r="C17">
        <v>3</v>
      </c>
      <c r="D17" t="s">
        <v>8</v>
      </c>
      <c r="F17" s="1">
        <v>7787.6149999999998</v>
      </c>
      <c r="G17" s="1">
        <f t="shared" si="0"/>
        <v>23362.845000000001</v>
      </c>
    </row>
    <row r="18" spans="1:7" x14ac:dyDescent="0.3">
      <c r="A18">
        <v>17</v>
      </c>
      <c r="B18" t="s">
        <v>27</v>
      </c>
      <c r="C18">
        <v>1</v>
      </c>
      <c r="D18" t="s">
        <v>8</v>
      </c>
      <c r="F18" s="1">
        <v>2200</v>
      </c>
      <c r="G18" s="1">
        <f t="shared" si="0"/>
        <v>2200</v>
      </c>
    </row>
    <row r="19" spans="1:7" x14ac:dyDescent="0.3">
      <c r="A19">
        <v>18</v>
      </c>
      <c r="B19" t="s">
        <v>28</v>
      </c>
      <c r="C19">
        <v>2</v>
      </c>
      <c r="D19" t="s">
        <v>15</v>
      </c>
      <c r="F19" s="1">
        <v>12654.862000000001</v>
      </c>
      <c r="G19" s="1">
        <f t="shared" si="0"/>
        <v>25309.724000000002</v>
      </c>
    </row>
    <row r="20" spans="1:7" x14ac:dyDescent="0.3">
      <c r="A20">
        <v>19</v>
      </c>
      <c r="B20" t="s">
        <v>29</v>
      </c>
      <c r="C20">
        <v>9</v>
      </c>
      <c r="D20" t="s">
        <v>8</v>
      </c>
      <c r="F20" s="1">
        <v>5280</v>
      </c>
      <c r="G20" s="1">
        <f t="shared" si="0"/>
        <v>47520</v>
      </c>
    </row>
    <row r="21" spans="1:7" x14ac:dyDescent="0.3">
      <c r="A21">
        <v>20</v>
      </c>
      <c r="B21" t="s">
        <v>30</v>
      </c>
      <c r="C21">
        <v>8</v>
      </c>
      <c r="D21" t="s">
        <v>8</v>
      </c>
      <c r="F21" s="1">
        <v>38500</v>
      </c>
      <c r="G21" s="1">
        <f t="shared" si="0"/>
        <v>308000</v>
      </c>
    </row>
    <row r="22" spans="1:7" x14ac:dyDescent="0.3">
      <c r="A22">
        <v>21</v>
      </c>
      <c r="B22" t="s">
        <v>31</v>
      </c>
      <c r="C22">
        <v>17</v>
      </c>
      <c r="D22" t="s">
        <v>8</v>
      </c>
      <c r="F22" s="1">
        <v>3099.998</v>
      </c>
      <c r="G22" s="1">
        <f t="shared" si="0"/>
        <v>52699.966</v>
      </c>
    </row>
    <row r="23" spans="1:7" x14ac:dyDescent="0.3">
      <c r="A23">
        <v>22</v>
      </c>
      <c r="B23" t="s">
        <v>32</v>
      </c>
      <c r="C23">
        <v>1</v>
      </c>
      <c r="D23" t="s">
        <v>8</v>
      </c>
      <c r="F23" s="1">
        <v>31150.449000000004</v>
      </c>
      <c r="G23" s="1">
        <f t="shared" si="0"/>
        <v>31150.449000000004</v>
      </c>
    </row>
    <row r="24" spans="1:7" x14ac:dyDescent="0.3">
      <c r="A24">
        <v>23</v>
      </c>
      <c r="B24" t="s">
        <v>33</v>
      </c>
      <c r="C24">
        <v>4</v>
      </c>
      <c r="D24" t="s">
        <v>8</v>
      </c>
      <c r="F24" s="1">
        <v>16353.986000000001</v>
      </c>
      <c r="G24" s="1">
        <f t="shared" si="0"/>
        <v>65415.944000000003</v>
      </c>
    </row>
    <row r="25" spans="1:7" x14ac:dyDescent="0.3">
      <c r="A25">
        <v>24</v>
      </c>
      <c r="B25" t="s">
        <v>34</v>
      </c>
      <c r="C25">
        <v>8</v>
      </c>
      <c r="D25" t="s">
        <v>8</v>
      </c>
      <c r="F25" s="1">
        <v>8250</v>
      </c>
      <c r="G25" s="1">
        <f t="shared" si="0"/>
        <v>66000</v>
      </c>
    </row>
    <row r="26" spans="1:7" x14ac:dyDescent="0.3">
      <c r="A26">
        <v>25</v>
      </c>
      <c r="B26" t="s">
        <v>35</v>
      </c>
      <c r="C26">
        <v>6</v>
      </c>
      <c r="D26" t="s">
        <v>8</v>
      </c>
      <c r="F26" s="1">
        <v>4400</v>
      </c>
      <c r="G26" s="1">
        <f t="shared" si="0"/>
        <v>26400</v>
      </c>
    </row>
    <row r="27" spans="1:7" x14ac:dyDescent="0.3">
      <c r="A27">
        <v>26</v>
      </c>
      <c r="B27" t="s">
        <v>36</v>
      </c>
      <c r="C27">
        <v>2</v>
      </c>
      <c r="D27" t="s">
        <v>8</v>
      </c>
      <c r="E27" t="s">
        <v>10</v>
      </c>
      <c r="F27" s="1">
        <v>8250</v>
      </c>
      <c r="G27" s="1">
        <f t="shared" si="0"/>
        <v>16500</v>
      </c>
    </row>
    <row r="28" spans="1:7" x14ac:dyDescent="0.3">
      <c r="A28">
        <v>27</v>
      </c>
      <c r="B28" t="s">
        <v>37</v>
      </c>
      <c r="C28">
        <v>1</v>
      </c>
      <c r="D28" t="s">
        <v>8</v>
      </c>
      <c r="F28" s="1">
        <v>1320</v>
      </c>
      <c r="G28" s="1">
        <f t="shared" si="0"/>
        <v>1320</v>
      </c>
    </row>
    <row r="29" spans="1:7" x14ac:dyDescent="0.3">
      <c r="A29">
        <v>28</v>
      </c>
      <c r="B29" t="s">
        <v>38</v>
      </c>
      <c r="C29">
        <v>8</v>
      </c>
      <c r="D29" t="s">
        <v>8</v>
      </c>
      <c r="F29" s="1">
        <v>5500</v>
      </c>
      <c r="G29" s="1">
        <f t="shared" si="0"/>
        <v>44000</v>
      </c>
    </row>
    <row r="30" spans="1:7" x14ac:dyDescent="0.3">
      <c r="A30">
        <v>29</v>
      </c>
      <c r="B30" t="s">
        <v>39</v>
      </c>
      <c r="C30">
        <v>6</v>
      </c>
      <c r="D30" t="s">
        <v>15</v>
      </c>
      <c r="F30" s="1">
        <v>3850.0000000000005</v>
      </c>
      <c r="G30" s="1">
        <f t="shared" si="0"/>
        <v>23100.000000000004</v>
      </c>
    </row>
    <row r="31" spans="1:7" x14ac:dyDescent="0.3">
      <c r="A31">
        <v>30</v>
      </c>
      <c r="B31" t="s">
        <v>40</v>
      </c>
      <c r="C31">
        <v>5</v>
      </c>
      <c r="D31" t="s">
        <v>15</v>
      </c>
      <c r="F31" s="1">
        <v>627</v>
      </c>
      <c r="G31" s="1">
        <f t="shared" si="0"/>
        <v>3135</v>
      </c>
    </row>
    <row r="32" spans="1:7" x14ac:dyDescent="0.3">
      <c r="A32">
        <v>31</v>
      </c>
      <c r="B32" t="s">
        <v>41</v>
      </c>
      <c r="C32">
        <v>5</v>
      </c>
      <c r="D32" t="s">
        <v>15</v>
      </c>
      <c r="F32" s="1">
        <v>1314.5</v>
      </c>
      <c r="G32" s="1">
        <f t="shared" si="0"/>
        <v>6572.5</v>
      </c>
    </row>
    <row r="33" spans="1:7" x14ac:dyDescent="0.3">
      <c r="A33">
        <v>32</v>
      </c>
      <c r="B33" t="s">
        <v>42</v>
      </c>
      <c r="C33">
        <v>7</v>
      </c>
      <c r="D33" t="s">
        <v>15</v>
      </c>
      <c r="F33" s="1">
        <v>1314.1590000000001</v>
      </c>
      <c r="G33" s="1">
        <f t="shared" si="0"/>
        <v>9199.1130000000012</v>
      </c>
    </row>
    <row r="34" spans="1:7" x14ac:dyDescent="0.3">
      <c r="A34">
        <v>33</v>
      </c>
      <c r="B34" t="s">
        <v>43</v>
      </c>
      <c r="C34">
        <v>4</v>
      </c>
      <c r="D34" t="s">
        <v>15</v>
      </c>
      <c r="F34" s="1">
        <v>2695</v>
      </c>
      <c r="G34" s="1">
        <f t="shared" si="0"/>
        <v>10780</v>
      </c>
    </row>
    <row r="35" spans="1:7" x14ac:dyDescent="0.3">
      <c r="A35">
        <v>34</v>
      </c>
      <c r="B35" t="s">
        <v>44</v>
      </c>
      <c r="C35">
        <v>8</v>
      </c>
      <c r="D35" t="s">
        <v>15</v>
      </c>
      <c r="F35" s="1">
        <v>1347.5</v>
      </c>
      <c r="G35" s="1">
        <f t="shared" si="0"/>
        <v>10780</v>
      </c>
    </row>
    <row r="36" spans="1:7" x14ac:dyDescent="0.3">
      <c r="A36">
        <v>35</v>
      </c>
      <c r="B36" t="s">
        <v>45</v>
      </c>
      <c r="C36">
        <v>1</v>
      </c>
      <c r="D36" t="s">
        <v>8</v>
      </c>
      <c r="F36" s="1">
        <v>1752.2120000000002</v>
      </c>
      <c r="G36" s="1">
        <f t="shared" si="0"/>
        <v>1752.2120000000002</v>
      </c>
    </row>
    <row r="37" spans="1:7" x14ac:dyDescent="0.3">
      <c r="A37">
        <v>36</v>
      </c>
      <c r="B37" t="s">
        <v>46</v>
      </c>
      <c r="C37">
        <v>20</v>
      </c>
      <c r="D37" t="s">
        <v>8</v>
      </c>
      <c r="F37" s="1">
        <v>715.00000000000011</v>
      </c>
      <c r="G37" s="1">
        <f t="shared" si="0"/>
        <v>14300.000000000002</v>
      </c>
    </row>
    <row r="38" spans="1:7" x14ac:dyDescent="0.3">
      <c r="A38">
        <v>37</v>
      </c>
      <c r="B38" t="s">
        <v>47</v>
      </c>
      <c r="C38">
        <v>3</v>
      </c>
      <c r="D38" t="s">
        <v>8</v>
      </c>
      <c r="F38" s="1">
        <v>44000</v>
      </c>
      <c r="G38" s="1">
        <f t="shared" si="0"/>
        <v>132000</v>
      </c>
    </row>
    <row r="39" spans="1:7" x14ac:dyDescent="0.3">
      <c r="B39" t="s">
        <v>48</v>
      </c>
      <c r="G39" s="1">
        <f>SUM(G2:G38)</f>
        <v>2677640.7239999999</v>
      </c>
    </row>
    <row r="40" spans="1:7" x14ac:dyDescent="0.3">
      <c r="B40" t="s">
        <v>49</v>
      </c>
      <c r="G40" s="2">
        <f>G39-G27-G6-G5-G3</f>
        <v>1611740.7239999999</v>
      </c>
    </row>
    <row r="41" spans="1:7" x14ac:dyDescent="0.3">
      <c r="B41" t="s">
        <v>50</v>
      </c>
      <c r="G41">
        <f>0.13*G40</f>
        <v>209526.29412000001</v>
      </c>
    </row>
    <row r="42" spans="1:7" x14ac:dyDescent="0.3">
      <c r="B42" t="s">
        <v>51</v>
      </c>
      <c r="G42" s="1">
        <f>G39+G41</f>
        <v>2887167.0181200001</v>
      </c>
    </row>
    <row r="43" spans="1:7" x14ac:dyDescent="0.3">
      <c r="E43" t="str">
        <f>RupeeFormat(G42)</f>
        <v>Rupees Twenty Eight Lacs Eighty Seven Thousand  One Hundred Sixty Seven and  One Paisas Only</v>
      </c>
    </row>
  </sheetData>
  <pageMargins left="0.7" right="0.7" top="0.75" bottom="0.75" header="0.3" footer="0.3"/>
  <pageSetup scale="65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2024-06-25T11:32:45Z</dcterms:modified>
</cp:coreProperties>
</file>